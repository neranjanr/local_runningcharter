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filterPrivacy="1" defaultThemeVersion="124226"/>
  <xr:revisionPtr revIDLastSave="0" documentId="13_ncr:1_{50D94487-D559-4059-95BD-10CD3041D9A9}" xr6:coauthVersionLast="47" xr6:coauthVersionMax="47" xr10:uidLastSave="{00000000-0000-0000-0000-000000000000}"/>
  <bookViews>
    <workbookView xWindow="-98" yWindow="-98" windowWidth="23596" windowHeight="15076" activeTab="2" xr2:uid="{00000000-000D-0000-FFFF-FFFF00000000}"/>
  </bookViews>
  <sheets>
    <sheet name="Cover" sheetId="1" r:id="rId1"/>
    <sheet name="Disclaimer" sheetId="2" r:id="rId2"/>
    <sheet name="Project Config &amp; Quotation" sheetId="3" r:id="rId3"/>
  </sheets>
  <definedNames>
    <definedName name="AGENTID" localSheetId="0">Cover!$B$10</definedName>
    <definedName name="BOQ_FLAG" localSheetId="0">Cover!$A$1</definedName>
    <definedName name="CFGAREA" localSheetId="2">'Project Config &amp; Quotation'!$C$9:$I$31</definedName>
    <definedName name="ColumnHeader" localSheetId="2">""</definedName>
    <definedName name="COMPANYNAME" localSheetId="0">Cover!$C$14</definedName>
    <definedName name="CREATE_DATE" localSheetId="0">Cover!$C$15</definedName>
    <definedName name="FixedRowHeightColumn" localSheetId="2">"11"</definedName>
    <definedName name="HasColumnHeader" localSheetId="2">"0"</definedName>
    <definedName name="L3PRODUCTCODE" localSheetId="2">""</definedName>
    <definedName name="PRICEID" localSheetId="0">Cover!$B$8</definedName>
    <definedName name="_xlnm.Print_Area" localSheetId="0">Cover!$B$2:$E$15</definedName>
    <definedName name="_xlnm.Print_Area" localSheetId="1">Disclaimer!$C$1:$C$48</definedName>
    <definedName name="_xlnm.Print_Area" localSheetId="2">'Project Config &amp; Quotation'!$C$2:$I$31</definedName>
    <definedName name="_xlnm.Print_Titles" localSheetId="2">'Project Config &amp; Quotation'!$B:$J,'Project Config &amp; Quotation'!$2:$9</definedName>
    <definedName name="PROJECTCODE" localSheetId="0">Cover!$J$2</definedName>
    <definedName name="PROJECTNAME" localSheetId="0">Cover!$C$6</definedName>
    <definedName name="QF_SYS_CITYCOUNTRY1" localSheetId="2">"COLOMBO_Sri Lanka"</definedName>
    <definedName name="QF_SYS_CURRENCY1" localSheetId="2">"USD"</definedName>
    <definedName name="QF_SYS_DESTINATION1" localSheetId="2">"COLOMBO_Sri Lanka"</definedName>
    <definedName name="QF_SYS_DESTINATION2" localSheetId="2">"Sri Lanka-COLOMBO-COLOMBO_SRI LANKA"</definedName>
    <definedName name="QF_SYS_EXCHANGE1" localSheetId="2">"1"</definedName>
    <definedName name="QF_SYS_LISTPRICECURRENCY" localSheetId="2">"USD"</definedName>
    <definedName name="QF_SYS_LK_DISCLAIMER" localSheetId="1">"."</definedName>
    <definedName name="QF_SYS_LK1_DISCLAIMER" localSheetId="1">"."</definedName>
    <definedName name="QF_SYS_LK2_DISCLAIMER" localSheetId="1">"."</definedName>
    <definedName name="QF_SYS_LK3_DISCLAIMER" localSheetId="1">"."</definedName>
    <definedName name="QF_SYS_LK4_DISCLAIMER" localSheetId="1">"."</definedName>
    <definedName name="QF_SYS_LK5_DISCLAIMER" localSheetId="1">"."</definedName>
    <definedName name="QF_SYS_LK6_DISCLAIMER" localSheetId="1">"."</definedName>
    <definedName name="QF_SYS_TRADETERMDESC1" localSheetId="2">"CIF"</definedName>
    <definedName name="QF_SYS_US_DISCLAIMER" localSheetId="1">"Please refer to the http://e.huawei.com/us website for the detailed product warranty and product descriptions (such as hardware, software and services, etc.)."</definedName>
    <definedName name="QF_SYS_VALIDDATE_SERVERPRODUCT" localSheetId="1">""</definedName>
    <definedName name="QF_SYS_VALIDITY_DATE" localSheetId="1">"2025-12-10"</definedName>
    <definedName name="QUOTATIONBY" localSheetId="0">Cover!$B$7</definedName>
    <definedName name="QUOTATIONNO" localSheetId="0">Cover!$J$3</definedName>
    <definedName name="QuoteType" localSheetId="2">"Embedded"</definedName>
    <definedName name="SheetByID" localSheetId="0">"None"</definedName>
    <definedName name="SheetByID" localSheetId="1">"None"</definedName>
    <definedName name="SheetByID" localSheetId="2">"None"</definedName>
    <definedName name="SheetByName" localSheetId="0">"None"</definedName>
    <definedName name="SheetByName" localSheetId="1">"None"</definedName>
    <definedName name="SheetByName" localSheetId="2">"None"</definedName>
    <definedName name="SheetName" localSheetId="0">"Cover"</definedName>
    <definedName name="SheetName" localSheetId="1">"Disclaimer"</definedName>
    <definedName name="SheetName" localSheetId="2">"Project Config &amp; Quotation"</definedName>
    <definedName name="SheetType" localSheetId="0">"100001"</definedName>
    <definedName name="SheetType" localSheetId="1">"100002"</definedName>
    <definedName name="SheetType" localSheetId="2">"61"</definedName>
    <definedName name="USERID" localSheetId="0">Cover!$A$4</definedName>
    <definedName name="VALID_AREA" localSheetId="0">Cover!$A$1:$F$16</definedName>
    <definedName name="VALID_AREA" localSheetId="1">Disclaimer!$A$1:$K$30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9" i="3" l="1"/>
  <c r="H9" i="3"/>
  <c r="C48" i="2"/>
  <c r="C31" i="2"/>
  <c r="C14" i="2"/>
  <c r="C13" i="2"/>
  <c r="C12" i="2"/>
  <c r="C11" i="2"/>
  <c r="C10" i="2"/>
  <c r="C8" i="2"/>
  <c r="B5" i="1"/>
</calcChain>
</file>

<file path=xl/sharedStrings.xml><?xml version="1.0" encoding="utf-8"?>
<sst xmlns="http://schemas.openxmlformats.org/spreadsheetml/2006/main" count="119" uniqueCount="96">
  <si>
    <t>No.</t>
  </si>
  <si>
    <t>Part Number</t>
  </si>
  <si>
    <t>Model</t>
  </si>
  <si>
    <t>Description</t>
  </si>
  <si>
    <t>Qty.</t>
  </si>
  <si>
    <t>Storage Flash Ever Service for Dordo 5000 V6_Site1</t>
  </si>
  <si>
    <t>Storage Flash Ever Service</t>
  </si>
  <si>
    <t>88291JLC</t>
  </si>
  <si>
    <t>Total Price</t>
  </si>
  <si>
    <t>Storage Equipment-OceanStor Dorado 5000 V6 6_Site1</t>
  </si>
  <si>
    <t>OceanStor Dorado 5000 V6</t>
  </si>
  <si>
    <t>OceanStor Dorado 5000 V6 Main Equipment</t>
  </si>
  <si>
    <t>Dual-Controller Unit 1</t>
  </si>
  <si>
    <t>Expanding Interface Module</t>
  </si>
  <si>
    <t>03050KTM</t>
  </si>
  <si>
    <t>Software</t>
  </si>
  <si>
    <t>88037SKF</t>
  </si>
  <si>
    <t>88039MTP</t>
  </si>
  <si>
    <t>Storage-OceanStor Dorado All-Flash Storage Planning Design and Implementation Service(Cross-site quotes)_Site1</t>
  </si>
  <si>
    <t>OceanStor Dorado All-Flash Storage Planning Design and Implementation Service</t>
  </si>
  <si>
    <t>8814151805</t>
  </si>
  <si>
    <t>8814151818</t>
  </si>
  <si>
    <t>8814151831</t>
  </si>
  <si>
    <t/>
  </si>
  <si>
    <t>DV6-4*25ROCE-SCont-Mlp</t>
  </si>
  <si>
    <t>D5V6-LBS-DETECT</t>
  </si>
  <si>
    <t>D5V6-LBS-DETECT-S</t>
  </si>
  <si>
    <t>Project Total Price</t>
  </si>
  <si>
    <t>Storage FlashEver Service-Dorado 5000 V6 to Next Generation(30BD-S)(Equivalent to the Data &amp; Device Retention Service),Specifications per Dual-Controller:upgrade to 512G, Quantity: 1 sets, Duration: 3 years, Start Time: Same as the maintenance start time</t>
  </si>
  <si>
    <t>4 ports 25Gb RoCE  SmartContainer Connect I/O module</t>
  </si>
  <si>
    <t>HyperDetect (anti-Ransomware) License</t>
  </si>
  <si>
    <t>HyperDetect (anti-Ransomware) License(for SAN)</t>
  </si>
  <si>
    <t>Solid Storage Planning and Design Service</t>
  </si>
  <si>
    <t>Solid Storage Commissioning Service</t>
  </si>
  <si>
    <t>Solid Storage Acceptance Service</t>
  </si>
  <si>
    <t>Ceylon Electricity Board</t>
  </si>
  <si>
    <t>CEB SAN_150TB_NVMe_FlashEver Upgrade_RW_for CEB</t>
  </si>
  <si>
    <t>South Asia Rep Office</t>
  </si>
  <si>
    <t>2025-09-10</t>
  </si>
  <si>
    <t>QUOTATION DISCLAIMER</t>
  </si>
  <si>
    <t>1-By receiving this offer the Channel Partner/Customer expressly accepts and agrees on the following:</t>
  </si>
  <si>
    <t>At the end of this period, Huawei reserves the right to vary this offer and/or any term included it, including but not limited to update the prices and/or costs at its sole discretion.</t>
  </si>
  <si>
    <t>2-The price in this offer only covers the specific items (such as hardware, software and service, etc.) in the BOQ list, parts in the optional list are not included.</t>
  </si>
  <si>
    <t>3-The prices of storage battery shall only be applied to this contract.</t>
  </si>
  <si>
    <t>Please refer to the L3 table for the detail version information.</t>
  </si>
  <si>
    <t>Huawei shall be entitled to select another supplier if the nominated supplier is no longer qualified or in default of its performance.</t>
  </si>
  <si>
    <t>Extra charge shall be paid for exceeded length of cables based on actual site information.</t>
  </si>
  <si>
    <t>Important:The total price of Trunk Cable,Optical Fiber,Ethernet Cable,Jumper Cable,Power Cable,Installation Materials,Auxiliary,Feeders are firmed and shall remain unchanged regardless quantities and required items used on actual.</t>
  </si>
  <si>
    <t>Statement on Embedded Software License ：Huawei application package might include Embedded Software License (abbreviated as “ESL”, means a third-party software that must be bundled or integrated with application software or equipment of Huawei, of which limited license is granted by owner to users for designated purpose other than anyone else. Maintenance and Upgrade can not be executed independently or separately). ESL can only be used through Huawei's application package and (1) shall not be installed, configured, upgraded, or modified directly; (2) nor be accessed directly, but solely through Huawei’s application package. Huawei may only access the ESL directly for purposes of providing technical assistance.</t>
  </si>
  <si>
    <t>Product Lifecycle： Huawei's product lifecycle regulation is subject to the “Product End of Life Policy”, Purchaser/ Channel Partner/Customer can find the “Product End of Life Policy” in URL address of Huawei official website:</t>
  </si>
  <si>
    <t>Vulnerability Disclaimer: Except as otherwise explicitly provided by law, Huawei does not guarantee that the software including but not limited to third party software or open source software, will perform error-free or uninterrupted or that Huawei will correct all errors. In addition, due to the continual development of new techniques for intruding upon and attacking networks, Huawei does not warrant that the software or any equipment, system or network on which the software is used will be free of vulnerability to intrusion or attack.</t>
  </si>
  <si>
    <t>Third Party Cyber Security Warranty Disclaimer: Any third party product (which is provided by third party (parties) via Huawei) shall only be provided by the Huawei under the original manufacturer/developer’s relevant terms and conditions of cyber security warranty. No additional right, warranty, indemnity or support is offered by the Huawei.</t>
  </si>
  <si>
    <t>Huawei shall not be liable to the other party for indirect or consequential losses, loss of profit, loss of revenues, loss of opportunity, loss of goodwill or reputation, loss of data or information and loss of interest. In any event, the total liability of Huawei shall not exceed twenty percent (20%) of the purchase order value.</t>
  </si>
  <si>
    <t>Change management:  Any change shall be valid only if it is mutually agreed,  made out in writing or via email  and signed/ acknowledged by both Parties.</t>
  </si>
  <si>
    <t>Product Substitution：In the event that Huawei ceases to produce and/or supply any Products specified in this Agreement during the Term, Huawei shall reserve the right to offer and supply the equivalent or better Products in terms of characteristics like parameters, functionality, and materials etc. with a prior written notice to customer before such planned replacement.</t>
  </si>
  <si>
    <t>A Purchase Order represents Purchaser’s offer to purchase Products and/or Services from Huawei and is subject to Huawei’s acceptance. No Purchase Order is binding on Huawei until it is accepted by Huawei. Huawei will notify Purchaser of its acceptance or rejection of a Purchase Order within 14 Days of its receipt of the Purchase Order.</t>
  </si>
  <si>
    <t>Notwithstanding any other provisions in the Contract, the delivery, warranty, maintenance service of any Third-party product shall be only provided according to the Third-party original manufacturers’ and/or vendors’ terms and conditions. For the Third-party products marked with“with software”, if Customer intends to obtain the services related to source code, such as fulfilling software feature requirements, resolving software quality issues, fixing/mitigating vulnerabilities, etc. and maintenance service after warranty period, Customer shall enter the relevant agreements with the Third-party original manufacturers and/or vendors directly. Huawei will assist the Customer to sign such agreements with the Third-party original manufacturers and/or vendors.</t>
  </si>
  <si>
    <t>Digital certificate technology is widely used as a means of authentication for communication encryption. For details of the rights and responsibilities of Huawei device initial certificate, please refer to the following link</t>
  </si>
  <si>
    <t>COL_SORTNO.0</t>
  </si>
  <si>
    <t>COL_SALECODE.0</t>
  </si>
  <si>
    <t>COL_MODEL.0</t>
  </si>
  <si>
    <t>COL_DESCRIPTION.0</t>
  </si>
  <si>
    <t>COL_ADD.0</t>
  </si>
  <si>
    <t>COL_UNIT_PRICE1.0</t>
  </si>
  <si>
    <t>COL_TOTAL_PRICE1.0</t>
  </si>
  <si>
    <t>sitecfgid.571242150_366835132,productcfgid.571242150,cfgmodeltypeid.1,productid.145657351,locationid.366835132,</t>
  </si>
  <si>
    <t>1</t>
  </si>
  <si>
    <t>sitecfgid.571242150_366835132,productcfgid.571242150,cfgmodeltypeid.1,productid.145657351,locationid.366835132,subprice.1,sbomid1.1,fathersbomid.0,null</t>
  </si>
  <si>
    <t>1.1</t>
  </si>
  <si>
    <t>sitecfgid.571242150_366835132,productcfgid.571242150,cfgmodeltypeid.1,productid.145657351,locationid.366835132,subprice.1,sbomid-1.-163696790,fathersbomid.1,uniqueId.81684.8706,productid.145657351,producttypeid.0,partnumber.88291JLC,erpid.-5128827,discountcategoryid.6323,multidiscountcategoryid.6323_8168487060000001,desc.-208350283,partType.0,isquoteleaf.1,isquoteitem.1</t>
  </si>
  <si>
    <t>sitecfgid.571242150_366835132,productcfgid.571242150,cfgmodeltypeid.1,productid.145657351,locationid.366835132,subprice.1,customermid.1</t>
  </si>
  <si>
    <t>sitecfgid.571242151_366835132,productcfgid.571242151,cfgmodeltypeid.5,productid.137783337,locationid.366835132,</t>
  </si>
  <si>
    <t>2</t>
  </si>
  <si>
    <t>sitecfgid.571242151_366835132,productcfgid.571242151,cfgmodeltypeid.5,productid.137783337,locationid.366835132,subprice.1,sbomid1.51930783,fathersbomid.0,null</t>
  </si>
  <si>
    <t>2.1</t>
  </si>
  <si>
    <t>sitecfgid.571242151_366835132,productcfgid.571242151,cfgmodeltypeid.5,productid.137783337,locationid.366835132,subprice.1,sbomid2.54685580,fathersbomid.51930783,null</t>
  </si>
  <si>
    <t>2.1.1</t>
  </si>
  <si>
    <t>sitecfgid.571242151_366835132,productcfgid.571242151,cfgmodeltypeid.5,productid.137783337,locationid.366835132,subprice.1,sbomid3.54685581,fathersbomid.54685580,null</t>
  </si>
  <si>
    <t>2.1.1.1</t>
  </si>
  <si>
    <t>sitecfgid.571242151_366835132,productcfgid.571242151,cfgmodeltypeid.5,productid.137783337,locationid.366835132,subprice.1,sbomid4.54685588,fathersbomid.54685581,null</t>
  </si>
  <si>
    <t>sitecfgid.571242151_366835132,productcfgid.571242151,cfgmodeltypeid.5,productid.137783337,locationid.366835132,subprice.1,sbomid5.59656509,fathersbomid.54685588,null</t>
  </si>
  <si>
    <t>sitecfgid.571242151_366835132,productcfgid.571242151,cfgmodeltypeid.5,productid.137783337,locationid.366835132,subprice.1,sbomid6.59656616,fathersbomid.59656509,uniqueId.7912.8,productid.137783337,producttypeid.0,partnumber.03050KTM,erpid.1100306694,discountcategoryid.740,multidiscountcategoryid.740_79128,desc.-1321904378,partType.1,isquoteleaf.1,isquoteitem.1</t>
  </si>
  <si>
    <t>sitecfgid.571242151_366835132,productcfgid.571242151,cfgmodeltypeid.5,productid.137783337,locationid.366835132,subprice.1,sbomid3.54685585,fathersbomid.54685580,null</t>
  </si>
  <si>
    <t>2.1.1.2</t>
  </si>
  <si>
    <t>sitecfgid.571242151_366835132,productcfgid.571242151,cfgmodeltypeid.5,productid.137783337,locationid.366835132,subprice.1,sbomid4.59656544,fathersbomid.54685585,uniqueId.52752.0,productid.137783337,producttypeid.0,partnumber.88037SKF,erpid.1100263143,discountcategoryid.57,multidiscountcategoryid.57_527520,desc.-215863865,partType.1,isquoteleaf.1,isquoteitem.1</t>
  </si>
  <si>
    <t>sitecfgid.571242151_366835132,productcfgid.571242151,cfgmodeltypeid.5,productid.137783337,locationid.366835132,subprice.1,sbomid-1.-894981801,fathersbomid.54685585,uniqueId.52752.0,productid.137783337,producttypeid.0,partnumber.88039MTP,erpid.1100492621,discountcategoryid.57,multidiscountcategoryid.57_527520,desc.-2084148319,partType.1,isquoteleaf.1,isquoteitem.1</t>
  </si>
  <si>
    <t>sitecfgid.571242151_366835132,productcfgid.571242151,cfgmodeltypeid.5,productid.137783337,locationid.366835132,subprice.1,customermid.1</t>
  </si>
  <si>
    <t>sitecfgid.571403870_366835132,productcfgid.571403870,cfgmodeltypeid.1,productid.145656699,locationid.366835132,</t>
  </si>
  <si>
    <t>3</t>
  </si>
  <si>
    <t>sitecfgid.571403870_366835132,productcfgid.571403870,cfgmodeltypeid.1,productid.145656699,locationid.366835132,subprice.1,sbomid1.53264924,fathersbomid.0,null</t>
  </si>
  <si>
    <t>3.1</t>
  </si>
  <si>
    <t>sitecfgid.571403870_366835132,productcfgid.571403870,cfgmodeltypeid.1,productid.145656699,locationid.366835132,subprice.1,sbomid2.53264947,fathersbomid.53264924,uniqueId.3196.206,productid.145656699,producttypeid.0,partnumber.8814151805,erpid.1001628276,discountcategoryid.6323,multidiscountcategoryid.6323_3196206,desc.-2089827867,partType.0,isquoteleaf.1,isquoteitem.1</t>
  </si>
  <si>
    <t>sitecfgid.571403870_366835132,productcfgid.571403870,cfgmodeltypeid.1,productid.145656699,locationid.366835132,subprice.1,sbomid2.53264975,fathersbomid.53264924,uniqueId.2622.528,productid.145656699,producttypeid.0,partnumber.8814151818,erpid.1001628289,discountcategoryid.6323,multidiscountcategoryid.6323_26225280000000002,desc.-2019770258,partType.0,isquoteleaf.1,isquoteitem.1</t>
  </si>
  <si>
    <t>sitecfgid.571403870_366835132,productcfgid.571403870,cfgmodeltypeid.1,productid.145656699,locationid.366835132,subprice.1,sbomid2.53265003,fathersbomid.53264924,uniqueId.4893.26453,productid.145656699,producttypeid.0,partnumber.8814151831,erpid.1001628302,discountcategoryid.6323,multidiscountcategoryid.6323_48932645299999995,desc.-13953402,partType.0,isquoteleaf.1,isquoteitem.1</t>
  </si>
  <si>
    <t>sitecfgid.571403870_366835132,productcfgid.571403870,cfgmodeltypeid.1,productid.145656699,locationid.366835132,subprice.1,customermid.1</t>
  </si>
  <si>
    <t>,projectTotalPrice.1,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</si>
</sst>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numFmt numFmtId="165" formatCode="0_ ;[Red]\-0\ "/>
    <numFmt numFmtId="166" formatCode="#,##0.00;[Red]\-#,##0.00"/>
  </numFmts>
  <fonts count="14" x14ac:knownFonts="1">
    <font>
      <sz val="10"/>
      <name val="Arial"/>
      <family val="2"/>
    </font>
    <font>
      <sz val="8"/>
      <name val="Arial"/>
      <family val="2"/>
    </font>
    <font>
      <sz val="12"/>
      <name val="Arial"/>
      <family val="2"/>
    </font>
    <font>
      <b/>
      <sz val="26"/>
      <name val="Arial"/>
      <family val="2"/>
    </font>
    <font>
      <b/>
      <sz val="20"/>
      <name val="Arial"/>
      <family val="2"/>
    </font>
    <font>
      <b/>
      <sz val="22"/>
      <name val="Arial"/>
      <family val="2"/>
    </font>
    <font>
      <b/>
      <sz val="16"/>
      <name val="Arial"/>
      <family val="2"/>
    </font>
    <font>
      <sz val="16"/>
      <name val="Arial"/>
      <family val="2"/>
    </font>
    <font>
      <b/>
      <sz val="14"/>
      <name val="Arial"/>
      <family val="2"/>
    </font>
    <font>
      <sz val="12"/>
      <name val="Arial Black"/>
      <family val="2"/>
    </font>
    <font>
      <sz val="10"/>
      <color indexed="12"/>
      <name val="Arial"/>
      <family val="2"/>
    </font>
    <font>
      <b/>
      <sz val="10"/>
      <name val="Arial"/>
      <family val="2"/>
    </font>
    <font>
      <b/>
      <sz val="9"/>
      <name val="Arial"/>
      <family val="2"/>
    </font>
    <font>
      <sz val="9"/>
      <name val="Arial"/>
      <family val="2"/>
    </font>
  </fonts>
  <fills count="5">
    <fill>
      <patternFill patternType="none"/>
    </fill>
    <fill>
      <patternFill patternType="gray125"/>
    </fill>
    <fill>
      <patternFill patternType="solid">
        <fgColor indexed="23"/>
        <bgColor indexed="64"/>
      </patternFill>
    </fill>
    <fill>
      <patternFill patternType="solid">
        <fgColor indexed="44"/>
        <bgColor indexed="64"/>
      </patternFill>
    </fill>
    <fill>
      <patternFill patternType="solid">
        <fgColor indexed="43"/>
        <bgColor indexed="64"/>
      </patternFill>
    </fill>
  </fills>
  <borders count="9">
    <border>
      <left/>
      <right/>
      <top/>
      <bottom/>
      <diagonal/>
    </border>
    <border>
      <left/>
      <right/>
      <top style="thin">
        <color auto="1"/>
      </top>
      <bottom/>
      <diagonal/>
    </border>
    <border>
      <left style="medium">
        <color auto="1"/>
      </left>
      <right style="medium">
        <color auto="1"/>
      </right>
      <top style="medium">
        <color auto="1"/>
      </top>
      <bottom style="medium">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s>
  <cellStyleXfs count="1">
    <xf numFmtId="0" fontId="0" fillId="0" borderId="0"/>
  </cellStyleXfs>
  <cellXfs count="56">
    <xf numFmtId="0" fontId="0" fillId="0" borderId="0" xfId="0"/>
    <xf numFmtId="0" fontId="0" fillId="0" borderId="0" xfId="0" applyProtection="1">
      <protection locked="0"/>
    </xf>
    <xf numFmtId="0" fontId="1" fillId="0" borderId="0" xfId="0" applyFont="1" applyAlignment="1" applyProtection="1">
      <alignment vertical="center"/>
      <protection locked="0"/>
    </xf>
    <xf numFmtId="49" fontId="2" fillId="0" borderId="0" xfId="0" applyNumberFormat="1" applyFont="1" applyProtection="1">
      <protection locked="0"/>
    </xf>
    <xf numFmtId="0" fontId="2" fillId="2" borderId="0" xfId="0" applyFont="1" applyFill="1" applyProtection="1">
      <protection locked="0"/>
    </xf>
    <xf numFmtId="0" fontId="4" fillId="0" borderId="0" xfId="0" applyFont="1" applyAlignment="1" applyProtection="1">
      <alignment horizontal="centerContinuous" vertical="center"/>
      <protection locked="0"/>
    </xf>
    <xf numFmtId="49" fontId="6" fillId="0" borderId="0" xfId="0" applyNumberFormat="1" applyFont="1" applyAlignment="1" applyProtection="1">
      <alignment horizontal="centerContinuous" vertical="center"/>
      <protection locked="0"/>
    </xf>
    <xf numFmtId="0" fontId="7" fillId="0" borderId="0" xfId="0" applyFont="1" applyAlignment="1" applyProtection="1">
      <alignment horizontal="centerContinuous" vertical="center"/>
      <protection locked="0"/>
    </xf>
    <xf numFmtId="0" fontId="8" fillId="2" borderId="0" xfId="0" applyFont="1" applyFill="1" applyProtection="1">
      <protection locked="0"/>
    </xf>
    <xf numFmtId="15" fontId="6" fillId="0" borderId="0" xfId="0" applyNumberFormat="1" applyFont="1" applyAlignment="1" applyProtection="1">
      <alignment horizontal="right" vertical="center"/>
      <protection locked="0"/>
    </xf>
    <xf numFmtId="164" fontId="6" fillId="0" borderId="0" xfId="0" applyNumberFormat="1" applyFont="1" applyAlignment="1" applyProtection="1">
      <alignment horizontal="left" vertical="center"/>
      <protection locked="0"/>
    </xf>
    <xf numFmtId="164" fontId="2" fillId="0" borderId="0" xfId="0" applyNumberFormat="1" applyFont="1" applyAlignment="1" applyProtection="1">
      <alignment horizontal="centerContinuous" vertical="center"/>
      <protection locked="0"/>
    </xf>
    <xf numFmtId="49" fontId="0" fillId="0" borderId="0" xfId="0" applyNumberFormat="1" applyAlignment="1" applyProtection="1">
      <alignment vertical="center" wrapText="1"/>
      <protection locked="0"/>
    </xf>
    <xf numFmtId="0" fontId="9" fillId="0" borderId="1" xfId="0" applyFont="1" applyBorder="1" applyAlignment="1" applyProtection="1">
      <alignment horizontal="center" vertical="center" wrapText="1"/>
      <protection locked="0"/>
    </xf>
    <xf numFmtId="0" fontId="0" fillId="0" borderId="0" xfId="0" applyAlignment="1" applyProtection="1">
      <alignment horizontal="left" vertical="center" wrapText="1"/>
      <protection locked="0"/>
    </xf>
    <xf numFmtId="0" fontId="0" fillId="0" borderId="0" xfId="0" applyAlignment="1" applyProtection="1">
      <alignment vertical="center" wrapText="1"/>
      <protection locked="0"/>
    </xf>
    <xf numFmtId="0" fontId="10" fillId="0" borderId="0" xfId="0" applyFont="1" applyAlignment="1" applyProtection="1">
      <alignment vertical="center" wrapText="1"/>
      <protection locked="0"/>
    </xf>
    <xf numFmtId="0" fontId="10" fillId="0" borderId="0" xfId="0" applyFont="1" applyAlignment="1" applyProtection="1">
      <alignment wrapText="1"/>
      <protection locked="0"/>
    </xf>
    <xf numFmtId="0" fontId="11" fillId="3" borderId="2" xfId="0" applyFont="1" applyFill="1" applyBorder="1" applyAlignment="1" applyProtection="1">
      <alignment horizontal="center" vertical="center" wrapText="1"/>
      <protection locked="0"/>
    </xf>
    <xf numFmtId="49" fontId="12" fillId="0" borderId="3" xfId="0" applyNumberFormat="1" applyFont="1" applyBorder="1" applyAlignment="1" applyProtection="1">
      <alignment horizontal="left" vertical="center"/>
      <protection locked="0"/>
    </xf>
    <xf numFmtId="49" fontId="12" fillId="3" borderId="3" xfId="0" applyNumberFormat="1" applyFont="1" applyFill="1" applyBorder="1" applyAlignment="1" applyProtection="1">
      <alignment horizontal="left" vertical="center"/>
      <protection locked="0"/>
    </xf>
    <xf numFmtId="49" fontId="13" fillId="0" borderId="3" xfId="0" applyNumberFormat="1" applyFont="1" applyBorder="1" applyAlignment="1" applyProtection="1">
      <alignment horizontal="left" vertical="center"/>
      <protection locked="0"/>
    </xf>
    <xf numFmtId="49" fontId="12" fillId="4" borderId="3" xfId="0" applyNumberFormat="1" applyFont="1" applyFill="1" applyBorder="1" applyAlignment="1" applyProtection="1">
      <alignment horizontal="left" vertical="center"/>
      <protection locked="0"/>
    </xf>
    <xf numFmtId="49" fontId="12" fillId="0" borderId="4" xfId="0" applyNumberFormat="1" applyFont="1" applyBorder="1" applyAlignment="1" applyProtection="1">
      <alignment horizontal="left" vertical="center"/>
      <protection locked="0"/>
    </xf>
    <xf numFmtId="49" fontId="12" fillId="3" borderId="4" xfId="0" applyNumberFormat="1" applyFont="1" applyFill="1" applyBorder="1" applyAlignment="1" applyProtection="1">
      <alignment horizontal="left" vertical="center"/>
      <protection locked="0"/>
    </xf>
    <xf numFmtId="49" fontId="13" fillId="0" borderId="4" xfId="0" applyNumberFormat="1" applyFont="1" applyBorder="1" applyAlignment="1" applyProtection="1">
      <alignment horizontal="left" vertical="center"/>
      <protection locked="0"/>
    </xf>
    <xf numFmtId="0" fontId="12" fillId="3" borderId="4" xfId="0" applyFont="1" applyFill="1" applyBorder="1" applyAlignment="1" applyProtection="1">
      <alignment horizontal="left" vertical="center" wrapText="1"/>
      <protection locked="0"/>
    </xf>
    <xf numFmtId="0" fontId="13" fillId="0" borderId="4" xfId="0" applyFont="1" applyBorder="1" applyAlignment="1" applyProtection="1">
      <alignment horizontal="left" vertical="center" wrapText="1"/>
      <protection locked="0"/>
    </xf>
    <xf numFmtId="165" fontId="12" fillId="0" borderId="4" xfId="0" applyNumberFormat="1" applyFont="1" applyBorder="1" applyAlignment="1" applyProtection="1">
      <alignment horizontal="center" vertical="center"/>
      <protection locked="0"/>
    </xf>
    <xf numFmtId="165" fontId="12" fillId="3" borderId="4" xfId="0" applyNumberFormat="1" applyFont="1" applyFill="1" applyBorder="1" applyAlignment="1" applyProtection="1">
      <alignment horizontal="center" vertical="center"/>
      <protection locked="0"/>
    </xf>
    <xf numFmtId="165" fontId="13" fillId="0" borderId="4" xfId="0" applyNumberFormat="1" applyFont="1" applyBorder="1" applyAlignment="1" applyProtection="1">
      <alignment horizontal="center" vertical="center"/>
      <protection locked="0"/>
    </xf>
    <xf numFmtId="165" fontId="12" fillId="4" borderId="4" xfId="0" applyNumberFormat="1" applyFont="1" applyFill="1" applyBorder="1" applyAlignment="1" applyProtection="1">
      <alignment horizontal="center" vertical="center"/>
      <protection locked="0"/>
    </xf>
    <xf numFmtId="166" fontId="12" fillId="0" borderId="4" xfId="0" applyNumberFormat="1" applyFont="1" applyBorder="1" applyAlignment="1" applyProtection="1">
      <alignment vertical="center" shrinkToFit="1"/>
      <protection locked="0"/>
    </xf>
    <xf numFmtId="166" fontId="12" fillId="3" borderId="4" xfId="0" applyNumberFormat="1" applyFont="1" applyFill="1" applyBorder="1" applyAlignment="1" applyProtection="1">
      <alignment vertical="center" shrinkToFit="1"/>
      <protection locked="0"/>
    </xf>
    <xf numFmtId="166" fontId="13" fillId="0" borderId="4" xfId="0" applyNumberFormat="1" applyFont="1" applyBorder="1" applyAlignment="1" applyProtection="1">
      <alignment vertical="center" shrinkToFit="1"/>
      <protection locked="0"/>
    </xf>
    <xf numFmtId="166" fontId="12" fillId="4" borderId="4" xfId="0" applyNumberFormat="1" applyFont="1" applyFill="1" applyBorder="1" applyAlignment="1" applyProtection="1">
      <alignment vertical="center" shrinkToFit="1"/>
      <protection locked="0"/>
    </xf>
    <xf numFmtId="166" fontId="12" fillId="0" borderId="5" xfId="0" applyNumberFormat="1" applyFont="1" applyBorder="1" applyAlignment="1" applyProtection="1">
      <alignment vertical="center" shrinkToFit="1"/>
      <protection locked="0"/>
    </xf>
    <xf numFmtId="166" fontId="12" fillId="3" borderId="5" xfId="0" applyNumberFormat="1" applyFont="1" applyFill="1" applyBorder="1" applyAlignment="1" applyProtection="1">
      <alignment vertical="center" shrinkToFit="1"/>
      <protection locked="0"/>
    </xf>
    <xf numFmtId="166" fontId="13" fillId="0" borderId="5" xfId="0" applyNumberFormat="1" applyFont="1" applyBorder="1" applyAlignment="1" applyProtection="1">
      <alignment vertical="center" shrinkToFit="1"/>
      <protection locked="0"/>
    </xf>
    <xf numFmtId="166" fontId="12" fillId="4" borderId="5" xfId="0" applyNumberFormat="1" applyFont="1" applyFill="1" applyBorder="1" applyAlignment="1" applyProtection="1">
      <alignment vertical="center" shrinkToFit="1"/>
      <protection locked="0"/>
    </xf>
    <xf numFmtId="49" fontId="12" fillId="3" borderId="6" xfId="0" applyNumberFormat="1" applyFont="1" applyFill="1" applyBorder="1" applyAlignment="1" applyProtection="1">
      <alignment horizontal="left" vertical="center"/>
      <protection locked="0"/>
    </xf>
    <xf numFmtId="49" fontId="12" fillId="3" borderId="7" xfId="0" applyNumberFormat="1" applyFont="1" applyFill="1" applyBorder="1" applyAlignment="1" applyProtection="1">
      <alignment horizontal="left" vertical="center"/>
      <protection locked="0"/>
    </xf>
    <xf numFmtId="0" fontId="12" fillId="3" borderId="7" xfId="0" applyFont="1" applyFill="1" applyBorder="1" applyAlignment="1" applyProtection="1">
      <alignment horizontal="left" vertical="center" wrapText="1"/>
      <protection locked="0"/>
    </xf>
    <xf numFmtId="165" fontId="12" fillId="3" borderId="7" xfId="0" applyNumberFormat="1" applyFont="1" applyFill="1" applyBorder="1" applyAlignment="1" applyProtection="1">
      <alignment horizontal="center" vertical="center"/>
      <protection locked="0"/>
    </xf>
    <xf numFmtId="166" fontId="12" fillId="3" borderId="7" xfId="0" applyNumberFormat="1" applyFont="1" applyFill="1" applyBorder="1" applyAlignment="1" applyProtection="1">
      <alignment vertical="center" shrinkToFit="1"/>
      <protection locked="0"/>
    </xf>
    <xf numFmtId="166" fontId="12" fillId="3" borderId="8" xfId="0" applyNumberFormat="1" applyFont="1" applyFill="1" applyBorder="1" applyAlignment="1" applyProtection="1">
      <alignment vertical="center" shrinkToFit="1"/>
      <protection locked="0"/>
    </xf>
    <xf numFmtId="0" fontId="0" fillId="0" borderId="1" xfId="0" applyBorder="1" applyProtection="1">
      <protection locked="0"/>
    </xf>
    <xf numFmtId="0" fontId="3" fillId="0" borderId="0" xfId="0" applyFont="1" applyAlignment="1" applyProtection="1">
      <alignment horizontal="center" vertical="center"/>
      <protection locked="0"/>
    </xf>
    <xf numFmtId="0" fontId="5" fillId="0" borderId="0" xfId="0" applyFont="1" applyAlignment="1" applyProtection="1">
      <alignment horizontal="center" wrapText="1"/>
      <protection locked="0"/>
    </xf>
    <xf numFmtId="0" fontId="8" fillId="0" borderId="0" xfId="0" applyFont="1" applyAlignment="1" applyProtection="1">
      <alignment horizontal="center" vertical="center" wrapText="1"/>
      <protection locked="0"/>
    </xf>
    <xf numFmtId="49" fontId="12" fillId="0" borderId="4" xfId="0" applyNumberFormat="1" applyFont="1" applyBorder="1" applyAlignment="1" applyProtection="1">
      <alignment horizontal="left" vertical="center"/>
      <protection locked="0"/>
    </xf>
    <xf numFmtId="0" fontId="12" fillId="0" borderId="4" xfId="0" applyFont="1" applyBorder="1" applyAlignment="1" applyProtection="1">
      <alignment horizontal="left" vertical="center" wrapText="1"/>
      <protection locked="0"/>
    </xf>
    <xf numFmtId="49" fontId="12" fillId="3" borderId="4" xfId="0" applyNumberFormat="1" applyFont="1" applyFill="1" applyBorder="1" applyAlignment="1" applyProtection="1">
      <alignment horizontal="left" vertical="center"/>
      <protection locked="0"/>
    </xf>
    <xf numFmtId="0" fontId="12" fillId="3" borderId="4" xfId="0" applyFont="1" applyFill="1" applyBorder="1" applyAlignment="1" applyProtection="1">
      <alignment horizontal="left" vertical="center" wrapText="1"/>
      <protection locked="0"/>
    </xf>
    <xf numFmtId="49" fontId="12" fillId="4" borderId="4" xfId="0" applyNumberFormat="1" applyFont="1" applyFill="1" applyBorder="1" applyAlignment="1" applyProtection="1">
      <alignment horizontal="left" vertical="center"/>
      <protection locked="0"/>
    </xf>
    <xf numFmtId="0" fontId="12" fillId="4" borderId="4" xfId="0" applyFont="1" applyFill="1" applyBorder="1" applyAlignment="1" applyProtection="1">
      <alignment horizontal="lef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1971675</xdr:colOff>
      <xdr:row>11</xdr:row>
      <xdr:rowOff>19050</xdr:rowOff>
    </xdr:from>
    <xdr:to>
      <xdr:col>3</xdr:col>
      <xdr:colOff>447675</xdr:colOff>
      <xdr:row>12</xdr:row>
      <xdr:rowOff>371475</xdr:rowOff>
    </xdr:to>
    <xdr:pic>
      <xdr:nvPicPr>
        <xdr:cNvPr id="2" name="Picture" descr="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76200</xdr:colOff>
      <xdr:row>2</xdr:row>
      <xdr:rowOff>9525</xdr:rowOff>
    </xdr:from>
    <xdr:to>
      <xdr:col>2</xdr:col>
      <xdr:colOff>485775</xdr:colOff>
      <xdr:row>4</xdr:row>
      <xdr:rowOff>104775</xdr:rowOff>
    </xdr:to>
    <xdr:pic>
      <xdr:nvPicPr>
        <xdr:cNvPr id="2" name="Picture" descr="Logo">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4</xdr:row>
      <xdr:rowOff>151925</xdr:rowOff>
    </xdr:to>
    <xdr:pic>
      <xdr:nvPicPr>
        <xdr:cNvPr id="3" name="Picture" descr="Logo">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5"/>
  <sheetViews>
    <sheetView topLeftCell="B2" workbookViewId="0">
      <selection activeCell="B8" sqref="B8:E9"/>
    </sheetView>
  </sheetViews>
  <sheetFormatPr defaultColWidth="9.1328125" defaultRowHeight="14.25" x14ac:dyDescent="0.35"/>
  <cols>
    <col min="1" max="1" width="20.796875" style="1" hidden="1" customWidth="1"/>
    <col min="2" max="2" width="8.86328125" style="1" customWidth="1"/>
    <col min="3" max="4" width="36.796875" style="1" customWidth="1"/>
    <col min="5" max="5" width="8.86328125" style="1" customWidth="1"/>
    <col min="6" max="6" width="3.3984375" style="1" customWidth="1"/>
    <col min="7" max="16384" width="9.1328125" style="1"/>
  </cols>
  <sheetData>
    <row r="1" spans="1:6" ht="44.25" hidden="1" customHeight="1" x14ac:dyDescent="0.35">
      <c r="A1" s="2"/>
      <c r="B1" s="2"/>
      <c r="C1" s="2"/>
      <c r="D1" s="2"/>
      <c r="E1" s="2"/>
      <c r="F1" s="2"/>
    </row>
    <row r="2" spans="1:6" ht="15.75" customHeight="1" x14ac:dyDescent="0.4">
      <c r="A2" s="2"/>
      <c r="B2" s="3"/>
      <c r="C2" s="2"/>
      <c r="D2" s="2"/>
      <c r="E2" s="2"/>
      <c r="F2" s="4"/>
    </row>
    <row r="3" spans="1:6" ht="21" customHeight="1" x14ac:dyDescent="0.4">
      <c r="A3" s="2"/>
      <c r="B3" s="2"/>
      <c r="C3" s="2"/>
      <c r="D3" s="2"/>
      <c r="E3" s="2"/>
      <c r="F3" s="4"/>
    </row>
    <row r="4" spans="1:6" ht="21" customHeight="1" x14ac:dyDescent="0.4">
      <c r="A4" s="2" t="s">
        <v>35</v>
      </c>
      <c r="B4" s="2"/>
      <c r="C4" s="2"/>
      <c r="D4" s="2"/>
      <c r="E4" s="2"/>
      <c r="F4" s="4"/>
    </row>
    <row r="5" spans="1:6" ht="45" customHeight="1" x14ac:dyDescent="0.4">
      <c r="A5" s="2"/>
      <c r="B5" s="47" t="str">
        <f>IF(VALUE($A$1)=1,"BILL OF QUANTITY","PRICE SCHEDULE")</f>
        <v>PRICE SCHEDULE</v>
      </c>
      <c r="C5" s="47"/>
      <c r="D5" s="47"/>
      <c r="E5" s="47"/>
      <c r="F5" s="4"/>
    </row>
    <row r="6" spans="1:6" ht="277.5" customHeight="1" x14ac:dyDescent="0.75">
      <c r="A6" s="2"/>
      <c r="B6" s="5"/>
      <c r="C6" s="48" t="s">
        <v>36</v>
      </c>
      <c r="D6" s="48"/>
      <c r="E6" s="5"/>
      <c r="F6" s="4"/>
    </row>
    <row r="7" spans="1:6" ht="39.75" customHeight="1" x14ac:dyDescent="0.4">
      <c r="A7" s="2"/>
      <c r="B7" s="6"/>
      <c r="C7" s="7"/>
      <c r="D7" s="7"/>
      <c r="E7" s="7"/>
      <c r="F7" s="4"/>
    </row>
    <row r="8" spans="1:6" ht="26.25" customHeight="1" x14ac:dyDescent="0.4">
      <c r="A8" s="2"/>
      <c r="B8" s="49"/>
      <c r="C8" s="49"/>
      <c r="D8" s="49"/>
      <c r="E8" s="49"/>
      <c r="F8" s="4"/>
    </row>
    <row r="9" spans="1:6" ht="32.25" customHeight="1" x14ac:dyDescent="0.5">
      <c r="A9" s="2"/>
      <c r="B9" s="49"/>
      <c r="C9" s="49"/>
      <c r="D9" s="49"/>
      <c r="E9" s="49"/>
      <c r="F9" s="8"/>
    </row>
    <row r="10" spans="1:6" ht="26.25" customHeight="1" x14ac:dyDescent="0.4">
      <c r="A10" s="2"/>
      <c r="B10" s="49" t="s">
        <v>37</v>
      </c>
      <c r="C10" s="49"/>
      <c r="D10" s="49"/>
      <c r="E10" s="49"/>
      <c r="F10" s="4"/>
    </row>
    <row r="11" spans="1:6" ht="19.5" customHeight="1" x14ac:dyDescent="0.5">
      <c r="A11" s="2"/>
      <c r="B11" s="49"/>
      <c r="C11" s="49"/>
      <c r="D11" s="49"/>
      <c r="E11" s="49"/>
      <c r="F11" s="8"/>
    </row>
    <row r="12" spans="1:6" ht="39.75" customHeight="1" x14ac:dyDescent="0.4">
      <c r="A12" s="2"/>
      <c r="B12" s="2"/>
      <c r="C12" s="9"/>
      <c r="D12" s="10"/>
      <c r="E12" s="2"/>
      <c r="F12" s="4"/>
    </row>
    <row r="13" spans="1:6" ht="39.75" customHeight="1" x14ac:dyDescent="0.4">
      <c r="A13" s="2"/>
      <c r="B13" s="2"/>
      <c r="C13" s="2"/>
      <c r="D13" s="2"/>
      <c r="E13" s="2"/>
      <c r="F13" s="4"/>
    </row>
    <row r="14" spans="1:6" ht="39.75" hidden="1" customHeight="1" x14ac:dyDescent="0.4">
      <c r="A14" s="2"/>
      <c r="B14" s="2"/>
      <c r="C14" s="6"/>
      <c r="D14" s="6"/>
      <c r="E14" s="2"/>
      <c r="F14" s="4"/>
    </row>
    <row r="15" spans="1:6" ht="27" customHeight="1" x14ac:dyDescent="0.4">
      <c r="A15" s="2"/>
      <c r="B15" s="2"/>
      <c r="C15" s="6" t="s">
        <v>38</v>
      </c>
      <c r="D15" s="11"/>
      <c r="E15" s="2"/>
      <c r="F15" s="4"/>
    </row>
  </sheetData>
  <mergeCells count="4">
    <mergeCell ref="B5:E5"/>
    <mergeCell ref="C6:D6"/>
    <mergeCell ref="B8:E9"/>
    <mergeCell ref="B10:E11"/>
  </mergeCells>
  <printOptions horizontalCentered="1"/>
  <pageMargins left="0.51181102362204722" right="0.51181102362204722" top="0.51181102362204722" bottom="0.47244094488188981" header="7.874015748031496E-2" footer="0.1968503937007874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K48"/>
  <sheetViews>
    <sheetView topLeftCell="B2" workbookViewId="0"/>
  </sheetViews>
  <sheetFormatPr defaultColWidth="9.1328125" defaultRowHeight="14.25" x14ac:dyDescent="0.35"/>
  <cols>
    <col min="1" max="1" width="12.796875" style="1" hidden="1" customWidth="1"/>
    <col min="2" max="2" width="2.265625" style="1" customWidth="1"/>
    <col min="3" max="3" width="108.06640625" style="1" customWidth="1"/>
    <col min="4" max="11" width="10.265625" style="1" customWidth="1"/>
    <col min="12" max="16384" width="9.1328125" style="1"/>
  </cols>
  <sheetData>
    <row r="1" spans="1:11" ht="51" hidden="1" customHeight="1" x14ac:dyDescent="0.35">
      <c r="A1" s="2"/>
      <c r="B1" s="2"/>
      <c r="C1" s="2"/>
      <c r="D1" s="2"/>
      <c r="E1" s="2"/>
      <c r="F1" s="2"/>
      <c r="G1" s="2"/>
      <c r="H1" s="2"/>
      <c r="I1" s="2"/>
      <c r="J1" s="2"/>
      <c r="K1" s="2"/>
    </row>
    <row r="2" spans="1:11" ht="12" customHeight="1" x14ac:dyDescent="0.35">
      <c r="A2" s="2"/>
      <c r="B2" s="2"/>
      <c r="C2" s="2"/>
      <c r="D2" s="2"/>
      <c r="E2" s="2"/>
      <c r="F2" s="2"/>
      <c r="G2" s="2"/>
      <c r="H2" s="2"/>
      <c r="I2" s="2"/>
      <c r="J2" s="2"/>
      <c r="K2" s="2"/>
    </row>
    <row r="3" spans="1:11" ht="12" customHeight="1" x14ac:dyDescent="0.35">
      <c r="A3" s="2"/>
      <c r="B3" s="2"/>
      <c r="C3" s="2"/>
      <c r="D3" s="2"/>
      <c r="E3" s="2"/>
      <c r="F3" s="2"/>
      <c r="G3" s="2"/>
      <c r="H3" s="2"/>
      <c r="I3" s="2"/>
      <c r="J3" s="2"/>
      <c r="K3" s="2"/>
    </row>
    <row r="4" spans="1:11" ht="12" customHeight="1" x14ac:dyDescent="0.35">
      <c r="A4" s="2"/>
      <c r="B4" s="2"/>
      <c r="C4" s="2"/>
      <c r="D4" s="2"/>
      <c r="E4" s="2"/>
      <c r="F4" s="2"/>
      <c r="G4" s="2"/>
      <c r="H4" s="2"/>
      <c r="I4" s="2"/>
      <c r="J4" s="2"/>
      <c r="K4" s="2"/>
    </row>
    <row r="5" spans="1:11" ht="12" customHeight="1" x14ac:dyDescent="0.35">
      <c r="A5" s="2"/>
      <c r="B5" s="12"/>
      <c r="C5" s="2"/>
      <c r="D5" s="2"/>
      <c r="E5" s="2"/>
      <c r="F5" s="2"/>
      <c r="G5" s="2"/>
      <c r="H5" s="2"/>
      <c r="I5" s="2"/>
      <c r="J5" s="2"/>
      <c r="K5" s="2"/>
    </row>
    <row r="6" spans="1:11" ht="19.5" customHeight="1" x14ac:dyDescent="0.35">
      <c r="A6" s="2"/>
      <c r="B6" s="2"/>
      <c r="C6" s="13" t="s">
        <v>39</v>
      </c>
      <c r="D6" s="2"/>
      <c r="E6" s="2"/>
      <c r="F6" s="2"/>
      <c r="G6" s="2"/>
      <c r="H6" s="2"/>
      <c r="I6" s="2"/>
      <c r="J6" s="2"/>
      <c r="K6" s="2"/>
    </row>
    <row r="7" spans="1:11" ht="12.75" customHeight="1" x14ac:dyDescent="0.35">
      <c r="A7" s="2"/>
      <c r="B7" s="2"/>
      <c r="C7" s="14" t="s">
        <v>40</v>
      </c>
      <c r="D7" s="2"/>
      <c r="E7" s="2"/>
      <c r="F7" s="2"/>
      <c r="G7" s="2"/>
      <c r="H7" s="2"/>
      <c r="I7" s="2"/>
      <c r="J7" s="2"/>
      <c r="K7" s="2"/>
    </row>
    <row r="8" spans="1:11" ht="45" customHeight="1" x14ac:dyDescent="0.35">
      <c r="A8" s="2"/>
      <c r="B8" s="2"/>
      <c r="C8" s="14" t="str">
        <f>"- This offer itself and/or the terms included in it, including but not limited to prices and/or costs quoted in this offer, are valid from the quotation date till: "&amp;QF_SYS_VALIDITY_DATE&amp;" "&amp;QF_SYS_VALIDDATE_SERVERPRODUCT&amp;" (Valid period for Non-Server products shall not exceed 3 months and Server products shall not exceed 30 days). "</f>
        <v xml:space="preserve">- This offer itself and/or the terms included in it, including but not limited to prices and/or costs quoted in this offer, are valid from the quotation date till: 2025-12-10  (Valid period for Non-Server products shall not exceed 3 months and Server products shall not exceed 30 days). </v>
      </c>
      <c r="D8" s="2"/>
      <c r="E8" s="14"/>
      <c r="F8" s="14"/>
      <c r="G8" s="14"/>
      <c r="H8" s="14"/>
      <c r="I8" s="14"/>
      <c r="J8" s="14"/>
      <c r="K8" s="14"/>
    </row>
    <row r="9" spans="1:11" ht="30" customHeight="1" x14ac:dyDescent="0.35">
      <c r="A9" s="2"/>
      <c r="B9" s="2"/>
      <c r="C9" s="14" t="s">
        <v>41</v>
      </c>
      <c r="D9" s="2"/>
      <c r="E9" s="2"/>
      <c r="F9" s="14"/>
      <c r="G9" s="14"/>
      <c r="H9" s="14"/>
      <c r="I9" s="14"/>
      <c r="J9" s="14"/>
      <c r="K9" s="14"/>
    </row>
    <row r="10" spans="1:11" ht="30" customHeight="1" x14ac:dyDescent="0.35">
      <c r="A10" s="2"/>
      <c r="B10" s="2"/>
      <c r="C10" s="14" t="str">
        <f>"- This offer constitutes mere information and an invitation to the Channel Partner/Customer, not binding for Huawei, to submit to Huawei its petition of Purchase Order."</f>
        <v>- This offer constitutes mere information and an invitation to the Channel Partner/Customer, not binding for Huawei, to submit to Huawei its petition of Purchase Order.</v>
      </c>
      <c r="D10" s="14"/>
      <c r="E10" s="14"/>
      <c r="F10" s="14"/>
      <c r="G10" s="14"/>
      <c r="H10" s="14"/>
      <c r="I10" s="14"/>
      <c r="J10" s="14"/>
      <c r="K10" s="14"/>
    </row>
    <row r="11" spans="1:11" ht="60" customHeight="1" x14ac:dyDescent="0.35">
      <c r="A11" s="2"/>
      <c r="B11" s="2"/>
      <c r="C11" s="14" t="str">
        <f>CONCATENATE("- The terms contained in this offer and/or this offer itself shall be valid and enforceable by the Channel Partner/customer"," and bidding for Huawei only in case of Huawei and the Channel Partner/Customer formalizes, according to Huawei contracting processes,","a Purchase Order that includes Huawei terms and conditions.")</f>
        <v>- The terms contained in this offer and/or this offer itself shall be valid and enforceable by the Channel Partner/customer and bidding for Huawei only in case of Huawei and the Channel Partner/Customer formalizes, according to Huawei contracting processes,a Purchase Order that includes Huawei terms and conditions.</v>
      </c>
      <c r="D11" s="14"/>
      <c r="E11" s="14"/>
      <c r="F11" s="14"/>
      <c r="G11" s="14"/>
      <c r="H11" s="14"/>
      <c r="I11" s="14"/>
      <c r="J11" s="14"/>
      <c r="K11" s="14"/>
    </row>
    <row r="12" spans="1:11" ht="45" customHeight="1" x14ac:dyDescent="0.35">
      <c r="A12" s="2"/>
      <c r="B12" s="2"/>
      <c r="C12" s="14" t="str">
        <f>CONCATENATE("- The abovementioned Huawei terms and conditions shall be the only terms and conditions applicable to the provision of services ","and/or goods described in this offer and therefore they shall govern the provision of the mentioned goods and/or services.")</f>
        <v>- The abovementioned Huawei terms and conditions shall be the only terms and conditions applicable to the provision of services and/or goods described in this offer and therefore they shall govern the provision of the mentioned goods and/or services.</v>
      </c>
      <c r="D12" s="14"/>
      <c r="E12" s="14"/>
      <c r="F12" s="14"/>
      <c r="G12" s="14"/>
      <c r="H12" s="14"/>
      <c r="I12" s="14"/>
      <c r="J12" s="14"/>
      <c r="K12" s="14"/>
    </row>
    <row r="13" spans="1:11" ht="45" customHeight="1" x14ac:dyDescent="0.35">
      <c r="A13" s="2"/>
      <c r="B13" s="2"/>
      <c r="C13" s="14" t="str">
        <f>CONCATENATE("- Huawei may, at its sole discretion and without any compensation (including but not limited to indemnification for damages) in ","favor of the Channel Partner/Customer, accepts or rejects the formalization of a Purchase Order.")</f>
        <v>- Huawei may, at its sole discretion and without any compensation (including but not limited to indemnification for damages) in favor of the Channel Partner/Customer, accepts or rejects the formalization of a Purchase Order.</v>
      </c>
      <c r="D13" s="14"/>
      <c r="E13" s="14"/>
      <c r="F13" s="14"/>
      <c r="G13" s="14"/>
      <c r="H13" s="14"/>
      <c r="I13" s="14"/>
      <c r="J13" s="14"/>
      <c r="K13" s="14"/>
    </row>
    <row r="14" spans="1:11" ht="45" customHeight="1" x14ac:dyDescent="0.35">
      <c r="A14" s="2"/>
      <c r="B14" s="2"/>
      <c r="C14" s="14" t="str">
        <f>CONCATENATE("- Any Channel Partner/Customer terms and/or conditions, communicated (orally, in writing or trough any other mean) or not, shall ","be void and not applicable for the provision of the goods and/or services described in the present offer.")</f>
        <v>- Any Channel Partner/Customer terms and/or conditions, communicated (orally, in writing or trough any other mean) or not, shall be void and not applicable for the provision of the goods and/or services described in the present offer.</v>
      </c>
      <c r="D14" s="14"/>
      <c r="E14" s="14"/>
      <c r="F14" s="14"/>
      <c r="G14" s="14"/>
      <c r="H14" s="14"/>
      <c r="I14" s="14"/>
      <c r="J14" s="14"/>
      <c r="K14" s="14"/>
    </row>
    <row r="15" spans="1:11" ht="4.5" customHeight="1" x14ac:dyDescent="0.35">
      <c r="A15" s="2"/>
      <c r="B15" s="2"/>
      <c r="C15" s="14"/>
      <c r="D15" s="14"/>
      <c r="E15" s="14"/>
      <c r="F15" s="14"/>
      <c r="G15" s="14"/>
      <c r="H15" s="14"/>
      <c r="I15" s="14"/>
      <c r="J15" s="14"/>
      <c r="K15" s="14"/>
    </row>
    <row r="16" spans="1:11" ht="30" customHeight="1" x14ac:dyDescent="0.35">
      <c r="A16" s="2"/>
      <c r="B16" s="2"/>
      <c r="C16" s="14" t="s">
        <v>42</v>
      </c>
      <c r="D16" s="14"/>
      <c r="E16" s="14"/>
      <c r="F16" s="14"/>
      <c r="G16" s="14"/>
      <c r="H16" s="14"/>
      <c r="I16" s="14"/>
      <c r="J16" s="14"/>
      <c r="K16" s="14"/>
    </row>
    <row r="17" spans="1:11" ht="4.5" customHeight="1" x14ac:dyDescent="0.35">
      <c r="A17" s="2"/>
      <c r="B17" s="2"/>
      <c r="C17" s="14"/>
      <c r="D17" s="14"/>
      <c r="E17" s="14"/>
      <c r="F17" s="14"/>
      <c r="G17" s="14"/>
      <c r="H17" s="14"/>
      <c r="I17" s="14"/>
      <c r="J17" s="14"/>
      <c r="K17" s="14"/>
    </row>
    <row r="18" spans="1:11" ht="12.75" customHeight="1" x14ac:dyDescent="0.35">
      <c r="A18" s="2"/>
      <c r="B18" s="2"/>
      <c r="C18" s="14" t="s">
        <v>43</v>
      </c>
      <c r="D18" s="14"/>
      <c r="E18" s="14"/>
      <c r="F18" s="14"/>
      <c r="G18" s="14"/>
      <c r="H18" s="14"/>
      <c r="I18" s="14"/>
      <c r="J18" s="14"/>
      <c r="K18" s="14"/>
    </row>
    <row r="19" spans="1:11" ht="4.5" customHeight="1" x14ac:dyDescent="0.35">
      <c r="A19" s="2"/>
      <c r="B19" s="2"/>
      <c r="C19" s="14"/>
      <c r="D19" s="14"/>
      <c r="E19" s="14"/>
      <c r="F19" s="14"/>
      <c r="G19" s="14"/>
      <c r="H19" s="14"/>
      <c r="I19" s="14"/>
      <c r="J19" s="14"/>
      <c r="K19" s="14"/>
    </row>
    <row r="20" spans="1:11" ht="30" customHeight="1" x14ac:dyDescent="0.35">
      <c r="A20" s="2"/>
      <c r="B20" s="2"/>
      <c r="C20" s="14" t="s">
        <v>44</v>
      </c>
      <c r="D20" s="15"/>
      <c r="E20" s="15"/>
      <c r="F20" s="15"/>
      <c r="G20" s="15"/>
      <c r="H20" s="15"/>
      <c r="I20" s="15"/>
      <c r="J20" s="15"/>
      <c r="K20" s="15"/>
    </row>
    <row r="21" spans="1:11" ht="4.5" customHeight="1" x14ac:dyDescent="0.35">
      <c r="A21" s="2"/>
      <c r="B21" s="2"/>
      <c r="C21" s="14"/>
      <c r="D21" s="2"/>
      <c r="E21" s="2"/>
      <c r="F21" s="2"/>
      <c r="G21" s="2"/>
      <c r="H21" s="2"/>
      <c r="I21" s="2"/>
      <c r="J21" s="2"/>
      <c r="K21" s="2"/>
    </row>
    <row r="22" spans="1:11" ht="30" customHeight="1" x14ac:dyDescent="0.35">
      <c r="A22" s="2"/>
      <c r="B22" s="2"/>
      <c r="C22" s="14" t="s">
        <v>45</v>
      </c>
      <c r="D22" s="2"/>
      <c r="E22" s="2"/>
      <c r="F22" s="2"/>
      <c r="G22" s="2"/>
      <c r="H22" s="2"/>
      <c r="I22" s="2"/>
      <c r="J22" s="2"/>
      <c r="K22" s="2"/>
    </row>
    <row r="23" spans="1:11" ht="4.5" customHeight="1" x14ac:dyDescent="0.35">
      <c r="A23" s="2"/>
      <c r="B23" s="2"/>
      <c r="C23" s="14"/>
      <c r="D23" s="2"/>
      <c r="E23" s="2"/>
      <c r="F23" s="2"/>
      <c r="G23" s="2"/>
      <c r="H23" s="2"/>
      <c r="I23" s="2"/>
      <c r="J23" s="2"/>
      <c r="K23" s="2"/>
    </row>
    <row r="24" spans="1:11" ht="16.5" customHeight="1" x14ac:dyDescent="0.35">
      <c r="A24" s="2"/>
      <c r="B24" s="2"/>
      <c r="C24" s="14" t="s">
        <v>46</v>
      </c>
      <c r="D24" s="2"/>
      <c r="E24" s="2"/>
      <c r="F24" s="2"/>
      <c r="G24" s="2"/>
      <c r="H24" s="2"/>
      <c r="I24" s="2"/>
      <c r="J24" s="2"/>
      <c r="K24" s="2"/>
    </row>
    <row r="25" spans="1:11" ht="4.5" customHeight="1" x14ac:dyDescent="0.35">
      <c r="A25" s="2"/>
      <c r="B25" s="2"/>
      <c r="C25" s="14"/>
      <c r="D25" s="2"/>
      <c r="E25" s="2"/>
      <c r="F25" s="2"/>
      <c r="G25" s="2"/>
      <c r="H25" s="2"/>
      <c r="I25" s="2"/>
      <c r="J25" s="2"/>
      <c r="K25" s="2"/>
    </row>
    <row r="26" spans="1:11" ht="45" customHeight="1" x14ac:dyDescent="0.35">
      <c r="A26" s="2"/>
      <c r="B26" s="2"/>
      <c r="C26" s="14" t="s">
        <v>47</v>
      </c>
      <c r="D26" s="2"/>
      <c r="E26" s="2"/>
      <c r="F26" s="2"/>
      <c r="G26" s="2"/>
      <c r="H26" s="2"/>
      <c r="I26" s="2"/>
      <c r="J26" s="2"/>
      <c r="K26" s="2"/>
    </row>
    <row r="27" spans="1:11" ht="4.5" customHeight="1" x14ac:dyDescent="0.35">
      <c r="A27" s="2"/>
      <c r="B27" s="2"/>
      <c r="C27" s="14"/>
      <c r="D27" s="2"/>
      <c r="E27" s="2"/>
      <c r="F27" s="2"/>
      <c r="G27" s="2"/>
      <c r="H27" s="2"/>
      <c r="I27" s="2"/>
      <c r="J27" s="2"/>
      <c r="K27" s="2"/>
    </row>
    <row r="28" spans="1:11" ht="90" customHeight="1" x14ac:dyDescent="0.35">
      <c r="A28" s="2"/>
      <c r="B28" s="2"/>
      <c r="C28" s="14" t="s">
        <v>48</v>
      </c>
      <c r="D28" s="2"/>
      <c r="E28" s="2"/>
      <c r="F28" s="2"/>
      <c r="G28" s="2"/>
      <c r="H28" s="2"/>
      <c r="I28" s="2"/>
      <c r="J28" s="2"/>
      <c r="K28" s="2"/>
    </row>
    <row r="29" spans="1:11" ht="12.75" customHeight="1" x14ac:dyDescent="0.35">
      <c r="A29" s="2"/>
      <c r="B29" s="2"/>
      <c r="C29" s="14"/>
      <c r="D29" s="2"/>
      <c r="E29" s="2"/>
      <c r="F29" s="2"/>
      <c r="G29" s="2"/>
      <c r="H29" s="2"/>
      <c r="I29" s="2"/>
      <c r="J29" s="2"/>
      <c r="K29" s="2"/>
    </row>
    <row r="30" spans="1:11" ht="33" customHeight="1" x14ac:dyDescent="0.35">
      <c r="A30" s="2"/>
      <c r="B30" s="2"/>
      <c r="C30" s="14" t="s">
        <v>49</v>
      </c>
      <c r="D30" s="2"/>
      <c r="E30" s="2"/>
      <c r="F30" s="2"/>
      <c r="G30" s="2"/>
      <c r="H30" s="2"/>
      <c r="I30" s="2"/>
      <c r="J30" s="2"/>
      <c r="K30" s="2"/>
    </row>
    <row r="31" spans="1:11" ht="20.25" customHeight="1" x14ac:dyDescent="0.35">
      <c r="A31" s="2"/>
      <c r="B31" s="2"/>
      <c r="C31" s="16" t="str">
        <f>HYPERLINK("https://support.huawei.com/enterprise/en/warranty-policy","https://support.huawei.com/enterprise/en/warranty-policy")</f>
        <v>https://support.huawei.com/enterprise/en/warranty-policy</v>
      </c>
      <c r="D31" s="2"/>
      <c r="E31" s="2"/>
      <c r="F31" s="2"/>
      <c r="G31" s="2"/>
      <c r="H31" s="2"/>
      <c r="I31" s="2"/>
      <c r="J31" s="2"/>
      <c r="K31" s="2"/>
    </row>
    <row r="32" spans="1:11" ht="12.75" x14ac:dyDescent="0.35"/>
    <row r="33" spans="1:11" ht="63.75" customHeight="1" x14ac:dyDescent="0.35">
      <c r="A33" s="2"/>
      <c r="B33" s="2"/>
      <c r="C33" s="15" t="s">
        <v>50</v>
      </c>
      <c r="D33" s="2"/>
      <c r="E33" s="2"/>
      <c r="F33" s="2"/>
      <c r="G33" s="2"/>
      <c r="H33" s="2"/>
      <c r="I33" s="2"/>
      <c r="J33" s="2"/>
      <c r="K33" s="2"/>
    </row>
    <row r="34" spans="1:11" ht="12.75" x14ac:dyDescent="0.35"/>
    <row r="35" spans="1:11" ht="38.25" customHeight="1" x14ac:dyDescent="0.35">
      <c r="A35" s="2"/>
      <c r="B35" s="2"/>
      <c r="C35" s="15" t="s">
        <v>51</v>
      </c>
      <c r="D35" s="2"/>
      <c r="E35" s="2"/>
      <c r="F35" s="2"/>
      <c r="G35" s="2"/>
      <c r="H35" s="2"/>
      <c r="I35" s="2"/>
      <c r="J35" s="2"/>
      <c r="K35" s="2"/>
    </row>
    <row r="36" spans="1:11" ht="12.75" customHeight="1" x14ac:dyDescent="0.35">
      <c r="A36" s="2"/>
      <c r="B36" s="2"/>
      <c r="C36" s="15"/>
      <c r="D36" s="2"/>
      <c r="E36" s="2"/>
      <c r="F36" s="2"/>
      <c r="G36" s="2"/>
      <c r="H36" s="2"/>
      <c r="I36" s="2"/>
      <c r="J36" s="2"/>
      <c r="K36" s="2"/>
    </row>
    <row r="37" spans="1:11" ht="38.25" customHeight="1" x14ac:dyDescent="0.35">
      <c r="A37" s="2"/>
      <c r="B37" s="2"/>
      <c r="C37" s="15" t="s">
        <v>52</v>
      </c>
      <c r="D37" s="2"/>
      <c r="E37" s="2"/>
      <c r="F37" s="2"/>
      <c r="G37" s="2"/>
      <c r="H37" s="2"/>
      <c r="I37" s="2"/>
      <c r="J37" s="2"/>
      <c r="K37" s="2"/>
    </row>
    <row r="38" spans="1:11" ht="12.75" customHeight="1" x14ac:dyDescent="0.35">
      <c r="A38" s="2"/>
      <c r="B38" s="2"/>
      <c r="C38" s="15"/>
      <c r="D38" s="2"/>
      <c r="E38" s="2"/>
      <c r="F38" s="2"/>
      <c r="G38" s="2"/>
      <c r="H38" s="2"/>
      <c r="I38" s="2"/>
      <c r="J38" s="2"/>
      <c r="K38" s="2"/>
    </row>
    <row r="39" spans="1:11" ht="25.5" customHeight="1" x14ac:dyDescent="0.35">
      <c r="A39" s="2"/>
      <c r="B39" s="2"/>
      <c r="C39" s="15" t="s">
        <v>53</v>
      </c>
      <c r="D39" s="2"/>
      <c r="E39" s="2"/>
      <c r="F39" s="2"/>
      <c r="G39" s="2"/>
      <c r="H39" s="2"/>
      <c r="I39" s="2"/>
      <c r="J39" s="2"/>
      <c r="K39" s="2"/>
    </row>
    <row r="40" spans="1:11" ht="12.75" customHeight="1" x14ac:dyDescent="0.35">
      <c r="A40" s="2"/>
      <c r="B40" s="2"/>
      <c r="C40" s="15"/>
      <c r="D40" s="2"/>
      <c r="E40" s="2"/>
      <c r="F40" s="2"/>
      <c r="G40" s="2"/>
      <c r="H40" s="2"/>
      <c r="I40" s="2"/>
      <c r="J40" s="2"/>
      <c r="K40" s="2"/>
    </row>
    <row r="41" spans="1:11" ht="38.25" customHeight="1" x14ac:dyDescent="0.35">
      <c r="A41" s="2"/>
      <c r="B41" s="2"/>
      <c r="C41" s="15" t="s">
        <v>54</v>
      </c>
      <c r="D41" s="2"/>
      <c r="E41" s="2"/>
      <c r="F41" s="2"/>
      <c r="G41" s="2"/>
      <c r="H41" s="2"/>
      <c r="I41" s="2"/>
      <c r="J41" s="2"/>
      <c r="K41" s="2"/>
    </row>
    <row r="42" spans="1:11" ht="12.75" x14ac:dyDescent="0.35"/>
    <row r="43" spans="1:11" ht="38.25" customHeight="1" x14ac:dyDescent="0.35">
      <c r="A43" s="2"/>
      <c r="B43" s="2"/>
      <c r="C43" s="15" t="s">
        <v>55</v>
      </c>
      <c r="D43" s="2"/>
      <c r="E43" s="2"/>
      <c r="F43" s="2"/>
      <c r="G43" s="2"/>
      <c r="H43" s="2"/>
      <c r="I43" s="2"/>
      <c r="J43" s="2"/>
      <c r="K43" s="2"/>
    </row>
    <row r="44" spans="1:11" ht="12.75" customHeight="1" x14ac:dyDescent="0.35">
      <c r="A44" s="2"/>
      <c r="B44" s="2"/>
      <c r="C44" s="15"/>
      <c r="D44" s="2"/>
      <c r="E44" s="2"/>
      <c r="F44" s="2"/>
      <c r="G44" s="2"/>
      <c r="H44" s="2"/>
      <c r="I44" s="2"/>
      <c r="J44" s="2"/>
      <c r="K44" s="2"/>
    </row>
    <row r="45" spans="1:11" ht="90" customHeight="1" x14ac:dyDescent="0.35">
      <c r="A45" s="2"/>
      <c r="B45" s="2"/>
      <c r="C45" s="15" t="s">
        <v>56</v>
      </c>
      <c r="D45" s="2"/>
      <c r="E45" s="2"/>
      <c r="F45" s="2"/>
      <c r="G45" s="2"/>
      <c r="H45" s="2"/>
      <c r="I45" s="2"/>
      <c r="J45" s="2"/>
      <c r="K45" s="2"/>
    </row>
    <row r="46" spans="1:11" ht="12.75" x14ac:dyDescent="0.35"/>
    <row r="47" spans="1:11" ht="30.75" customHeight="1" x14ac:dyDescent="0.35">
      <c r="A47" s="2"/>
      <c r="B47" s="2"/>
      <c r="C47" s="14" t="s">
        <v>57</v>
      </c>
      <c r="D47" s="2"/>
      <c r="E47" s="2"/>
      <c r="F47" s="2"/>
      <c r="G47" s="2"/>
      <c r="H47" s="2"/>
      <c r="I47" s="2"/>
      <c r="J47" s="2"/>
      <c r="K47" s="2"/>
    </row>
    <row r="48" spans="1:11" ht="12.75" customHeight="1" x14ac:dyDescent="0.35">
      <c r="A48" s="2"/>
      <c r="B48" s="2"/>
      <c r="C48" s="17" t="str">
        <f>HYPERLINK("https://support.huawei.com/enterprise/en/bulletins-service/ENEWS2000015766","https://support.huawei.com/enterprise/en/bulletins-service/ENEWS2000015766")</f>
        <v>https://support.huawei.com/enterprise/en/bulletins-service/ENEWS2000015766</v>
      </c>
      <c r="D48" s="2"/>
      <c r="E48" s="2"/>
      <c r="F48" s="2"/>
      <c r="G48" s="2"/>
      <c r="H48" s="2"/>
      <c r="I48" s="2"/>
      <c r="J48" s="2"/>
      <c r="K48" s="2"/>
    </row>
  </sheetData>
  <printOptions horizontalCentered="1"/>
  <pageMargins left="0.51181102362204722" right="0.51181102362204722" top="0.51181102362204722" bottom="0.47244094488188981" header="7.874015748031496E-2" footer="0.1968503937007874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K33"/>
  <sheetViews>
    <sheetView tabSelected="1" topLeftCell="B2" workbookViewId="0">
      <selection activeCell="P18" sqref="P18"/>
    </sheetView>
  </sheetViews>
  <sheetFormatPr defaultColWidth="9.1328125" defaultRowHeight="14.25" outlineLevelRow="5" x14ac:dyDescent="0.35"/>
  <cols>
    <col min="1" max="1" width="2" style="1" hidden="1" customWidth="1"/>
    <col min="2" max="2" width="2" style="1" customWidth="1"/>
    <col min="3" max="3" width="6.86328125" style="1" customWidth="1"/>
    <col min="4" max="5" width="13.6640625" style="1" customWidth="1"/>
    <col min="6" max="6" width="34.796875" style="1" customWidth="1"/>
    <col min="7" max="7" width="10" style="1" customWidth="1"/>
    <col min="8" max="9" width="14.53125" style="1" customWidth="1"/>
    <col min="10" max="10" width="9.1328125" style="1"/>
    <col min="11" max="11" width="61.86328125" style="1" hidden="1" customWidth="1"/>
    <col min="12" max="16384" width="9.1328125" style="1"/>
  </cols>
  <sheetData>
    <row r="1" spans="1:9" ht="12.75" hidden="1" customHeight="1" x14ac:dyDescent="0.35">
      <c r="C1" t="s">
        <v>58</v>
      </c>
      <c r="D1" t="s">
        <v>59</v>
      </c>
      <c r="E1" t="s">
        <v>60</v>
      </c>
      <c r="F1" t="s">
        <v>61</v>
      </c>
      <c r="G1" t="s">
        <v>62</v>
      </c>
      <c r="H1" t="s">
        <v>63</v>
      </c>
      <c r="I1" t="s">
        <v>64</v>
      </c>
    </row>
    <row r="2" spans="1:9" ht="12.75" customHeight="1" x14ac:dyDescent="0.35"/>
    <row r="3" spans="1:9" ht="12.75" customHeight="1" x14ac:dyDescent="0.35"/>
    <row r="4" spans="1:9" ht="12.75" customHeight="1" x14ac:dyDescent="0.35"/>
    <row r="5" spans="1:9" ht="12.75" customHeight="1" x14ac:dyDescent="0.35"/>
    <row r="6" spans="1:9" ht="12.75" customHeight="1" x14ac:dyDescent="0.35">
      <c r="C6" s="46"/>
      <c r="D6" s="46"/>
      <c r="E6" s="46"/>
      <c r="F6" s="46"/>
      <c r="G6" s="46"/>
      <c r="H6" s="46"/>
      <c r="I6" s="46"/>
    </row>
    <row r="7" spans="1:9" ht="12.75" customHeight="1" x14ac:dyDescent="0.35"/>
    <row r="8" spans="1:9" ht="12.75" customHeight="1" x14ac:dyDescent="0.35"/>
    <row r="9" spans="1:9" ht="30" customHeight="1" x14ac:dyDescent="0.35">
      <c r="C9" s="18" t="s">
        <v>0</v>
      </c>
      <c r="D9" s="18" t="s">
        <v>1</v>
      </c>
      <c r="E9" s="18" t="s">
        <v>2</v>
      </c>
      <c r="F9" s="18" t="s">
        <v>3</v>
      </c>
      <c r="G9" s="18" t="s">
        <v>4</v>
      </c>
      <c r="H9" s="18" t="str">
        <f>IF(QuoteType="Embedded","Unit Price
("&amp;QF_SYS_CURRENCY1&amp;IF(QF_SYS_TRADETERMDESC1="","",IF(QF_SYS_CURRENCY1="",""," "))&amp;QF_SYS_TRADETERMDESC1&amp;IF(QF_SYS_DESTINATION1="","",IF(QF_SYS_TRADETERMDESC1="",IF(QF_SYS_CURRENCY1="",""," ")," "))&amp;QF_SYS_DESTINATION1&amp;")","Unit Price
("&amp;QF_SYS_CURRENCY1&amp;")")</f>
        <v>Unit Price
(USD CIF COLOMBO_Sri Lanka)</v>
      </c>
      <c r="I9" s="18" t="str">
        <f>IF(QuoteType="Embedded","Total Price
("&amp;QF_SYS_CURRENCY1&amp;IF(QF_SYS_TRADETERMDESC1="","",IF(QF_SYS_CURRENCY1="",""," "))&amp;QF_SYS_TRADETERMDESC1&amp;IF(QF_SYS_DESTINATION1="","",IF(QF_SYS_TRADETERMDESC1="",IF(QF_SYS_CURRENCY1="",""," ")," "))&amp;QF_SYS_DESTINATION1&amp;")","Total Price
("&amp;QF_SYS_CURRENCY1&amp;")")</f>
        <v>Total Price
(USD CIF COLOMBO_Sri Lanka)</v>
      </c>
    </row>
    <row r="10" spans="1:9" ht="12.75" x14ac:dyDescent="0.35">
      <c r="A10" t="s">
        <v>65</v>
      </c>
      <c r="C10" s="19" t="s">
        <v>66</v>
      </c>
      <c r="D10" s="50" t="s">
        <v>5</v>
      </c>
      <c r="E10" s="50"/>
      <c r="F10" s="51" t="s">
        <v>23</v>
      </c>
      <c r="G10" s="28"/>
      <c r="H10" s="32"/>
      <c r="I10" s="36"/>
    </row>
    <row r="11" spans="1:9" ht="12.75" outlineLevel="2" x14ac:dyDescent="0.35">
      <c r="A11" t="s">
        <v>67</v>
      </c>
      <c r="C11" s="20" t="s">
        <v>68</v>
      </c>
      <c r="D11" s="52" t="s">
        <v>6</v>
      </c>
      <c r="E11" s="52"/>
      <c r="F11" s="53" t="s">
        <v>23</v>
      </c>
      <c r="G11" s="29"/>
      <c r="H11" s="33"/>
      <c r="I11" s="37"/>
    </row>
    <row r="12" spans="1:9" ht="81.400000000000006" outlineLevel="3" x14ac:dyDescent="0.35">
      <c r="A12" t="s">
        <v>69</v>
      </c>
      <c r="C12" s="21"/>
      <c r="D12" s="25" t="s">
        <v>7</v>
      </c>
      <c r="E12" s="27" t="s">
        <v>7</v>
      </c>
      <c r="F12" s="27" t="s">
        <v>28</v>
      </c>
      <c r="G12" s="30">
        <v>1</v>
      </c>
      <c r="H12" s="34"/>
      <c r="I12" s="38"/>
    </row>
    <row r="13" spans="1:9" ht="12.75" x14ac:dyDescent="0.35">
      <c r="A13" t="s">
        <v>70</v>
      </c>
      <c r="C13" s="20"/>
      <c r="D13" s="24" t="s">
        <v>8</v>
      </c>
      <c r="E13" s="26" t="s">
        <v>23</v>
      </c>
      <c r="F13" s="26" t="s">
        <v>23</v>
      </c>
      <c r="G13" s="29">
        <v>1</v>
      </c>
      <c r="H13" s="33"/>
      <c r="I13" s="37"/>
    </row>
    <row r="14" spans="1:9" ht="12.75" x14ac:dyDescent="0.35">
      <c r="A14" t="s">
        <v>71</v>
      </c>
      <c r="C14" s="19" t="s">
        <v>72</v>
      </c>
      <c r="D14" s="50" t="s">
        <v>9</v>
      </c>
      <c r="E14" s="50"/>
      <c r="F14" s="51" t="s">
        <v>23</v>
      </c>
      <c r="G14" s="28"/>
      <c r="H14" s="32"/>
      <c r="I14" s="36"/>
    </row>
    <row r="15" spans="1:9" ht="12.75" outlineLevel="2" x14ac:dyDescent="0.35">
      <c r="A15" t="s">
        <v>73</v>
      </c>
      <c r="C15" s="20" t="s">
        <v>74</v>
      </c>
      <c r="D15" s="52" t="s">
        <v>10</v>
      </c>
      <c r="E15" s="52"/>
      <c r="F15" s="53" t="s">
        <v>23</v>
      </c>
      <c r="G15" s="29"/>
      <c r="H15" s="33"/>
      <c r="I15" s="37"/>
    </row>
    <row r="16" spans="1:9" ht="12.75" outlineLevel="3" x14ac:dyDescent="0.35">
      <c r="A16" t="s">
        <v>75</v>
      </c>
      <c r="C16" s="22" t="s">
        <v>76</v>
      </c>
      <c r="D16" s="54" t="s">
        <v>10</v>
      </c>
      <c r="E16" s="54"/>
      <c r="F16" s="55" t="s">
        <v>23</v>
      </c>
      <c r="G16" s="31"/>
      <c r="H16" s="35"/>
      <c r="I16" s="39"/>
    </row>
    <row r="17" spans="1:11" ht="12.75" outlineLevel="4" x14ac:dyDescent="0.35">
      <c r="A17" t="s">
        <v>77</v>
      </c>
      <c r="C17" s="22" t="s">
        <v>78</v>
      </c>
      <c r="D17" s="54" t="s">
        <v>11</v>
      </c>
      <c r="E17" s="54"/>
      <c r="F17" s="55" t="s">
        <v>23</v>
      </c>
      <c r="G17" s="31"/>
      <c r="H17" s="35"/>
      <c r="I17" s="39"/>
    </row>
    <row r="18" spans="1:11" ht="12.75" outlineLevel="5" x14ac:dyDescent="0.35">
      <c r="A18" t="s">
        <v>79</v>
      </c>
      <c r="C18" s="19"/>
      <c r="D18" s="50" t="s">
        <v>12</v>
      </c>
      <c r="E18" s="50"/>
      <c r="F18" s="51" t="s">
        <v>23</v>
      </c>
      <c r="G18" s="28"/>
      <c r="H18" s="32"/>
      <c r="I18" s="36"/>
    </row>
    <row r="19" spans="1:11" ht="12.75" outlineLevel="5" x14ac:dyDescent="0.35">
      <c r="A19" t="s">
        <v>80</v>
      </c>
      <c r="C19" s="19"/>
      <c r="D19" s="50" t="s">
        <v>13</v>
      </c>
      <c r="E19" s="50"/>
      <c r="F19" s="51" t="s">
        <v>23</v>
      </c>
      <c r="G19" s="28"/>
      <c r="H19" s="32"/>
      <c r="I19" s="36"/>
    </row>
    <row r="20" spans="1:11" ht="23.25" outlineLevel="5" x14ac:dyDescent="0.35">
      <c r="A20" t="s">
        <v>81</v>
      </c>
      <c r="C20" s="21"/>
      <c r="D20" s="25" t="s">
        <v>14</v>
      </c>
      <c r="E20" s="27" t="s">
        <v>24</v>
      </c>
      <c r="F20" s="27" t="s">
        <v>29</v>
      </c>
      <c r="G20" s="30">
        <v>2</v>
      </c>
      <c r="H20" s="34"/>
      <c r="I20" s="38"/>
    </row>
    <row r="21" spans="1:11" ht="12.75" outlineLevel="4" x14ac:dyDescent="0.35">
      <c r="A21" t="s">
        <v>82</v>
      </c>
      <c r="C21" s="22" t="s">
        <v>83</v>
      </c>
      <c r="D21" s="54" t="s">
        <v>15</v>
      </c>
      <c r="E21" s="54"/>
      <c r="F21" s="55" t="s">
        <v>23</v>
      </c>
      <c r="G21" s="31"/>
      <c r="H21" s="35"/>
      <c r="I21" s="39"/>
    </row>
    <row r="22" spans="1:11" ht="23.25" outlineLevel="5" x14ac:dyDescent="0.35">
      <c r="A22" t="s">
        <v>84</v>
      </c>
      <c r="C22" s="21"/>
      <c r="D22" s="25" t="s">
        <v>16</v>
      </c>
      <c r="E22" s="27" t="s">
        <v>25</v>
      </c>
      <c r="F22" s="27" t="s">
        <v>30</v>
      </c>
      <c r="G22" s="30">
        <v>1</v>
      </c>
      <c r="H22" s="34"/>
      <c r="I22" s="38"/>
    </row>
    <row r="23" spans="1:11" ht="23.25" outlineLevel="5" x14ac:dyDescent="0.35">
      <c r="A23" t="s">
        <v>85</v>
      </c>
      <c r="C23" s="21"/>
      <c r="D23" s="25" t="s">
        <v>17</v>
      </c>
      <c r="E23" s="27" t="s">
        <v>26</v>
      </c>
      <c r="F23" s="27" t="s">
        <v>31</v>
      </c>
      <c r="G23" s="30">
        <v>1</v>
      </c>
      <c r="H23" s="34"/>
      <c r="I23" s="38"/>
    </row>
    <row r="24" spans="1:11" ht="12.75" x14ac:dyDescent="0.35">
      <c r="A24" t="s">
        <v>86</v>
      </c>
      <c r="C24" s="20"/>
      <c r="D24" s="24" t="s">
        <v>8</v>
      </c>
      <c r="E24" s="26" t="s">
        <v>23</v>
      </c>
      <c r="F24" s="26" t="s">
        <v>23</v>
      </c>
      <c r="G24" s="29">
        <v>1</v>
      </c>
      <c r="H24" s="33"/>
      <c r="I24" s="37"/>
    </row>
    <row r="25" spans="1:11" ht="12.75" x14ac:dyDescent="0.35">
      <c r="A25" t="s">
        <v>87</v>
      </c>
      <c r="C25" s="19" t="s">
        <v>88</v>
      </c>
      <c r="D25" s="50" t="s">
        <v>18</v>
      </c>
      <c r="E25" s="50"/>
      <c r="F25" s="51" t="s">
        <v>23</v>
      </c>
      <c r="G25" s="28"/>
      <c r="H25" s="32"/>
      <c r="I25" s="36"/>
      <c r="K25" s="23" t="s">
        <v>18</v>
      </c>
    </row>
    <row r="26" spans="1:11" ht="12.75" outlineLevel="2" x14ac:dyDescent="0.35">
      <c r="A26" t="s">
        <v>89</v>
      </c>
      <c r="C26" s="20" t="s">
        <v>90</v>
      </c>
      <c r="D26" s="52" t="s">
        <v>19</v>
      </c>
      <c r="E26" s="52"/>
      <c r="F26" s="53" t="s">
        <v>23</v>
      </c>
      <c r="G26" s="29"/>
      <c r="H26" s="33"/>
      <c r="I26" s="37"/>
      <c r="K26" s="24" t="s">
        <v>19</v>
      </c>
    </row>
    <row r="27" spans="1:11" ht="12.75" outlineLevel="3" x14ac:dyDescent="0.35">
      <c r="A27" t="s">
        <v>91</v>
      </c>
      <c r="C27" s="21"/>
      <c r="D27" s="25" t="s">
        <v>20</v>
      </c>
      <c r="E27" s="27"/>
      <c r="F27" s="27" t="s">
        <v>32</v>
      </c>
      <c r="G27" s="30">
        <v>1</v>
      </c>
      <c r="H27" s="34"/>
      <c r="I27" s="38"/>
    </row>
    <row r="28" spans="1:11" ht="12.75" outlineLevel="3" x14ac:dyDescent="0.35">
      <c r="A28" t="s">
        <v>92</v>
      </c>
      <c r="C28" s="21"/>
      <c r="D28" s="25" t="s">
        <v>21</v>
      </c>
      <c r="E28" s="27"/>
      <c r="F28" s="27" t="s">
        <v>33</v>
      </c>
      <c r="G28" s="30">
        <v>1</v>
      </c>
      <c r="H28" s="34"/>
      <c r="I28" s="38"/>
    </row>
    <row r="29" spans="1:11" ht="12.75" outlineLevel="3" x14ac:dyDescent="0.35">
      <c r="A29" t="s">
        <v>93</v>
      </c>
      <c r="C29" s="21"/>
      <c r="D29" s="25" t="s">
        <v>22</v>
      </c>
      <c r="E29" s="27"/>
      <c r="F29" s="27" t="s">
        <v>34</v>
      </c>
      <c r="G29" s="30">
        <v>1</v>
      </c>
      <c r="H29" s="34"/>
      <c r="I29" s="38"/>
    </row>
    <row r="30" spans="1:11" ht="12.75" x14ac:dyDescent="0.35">
      <c r="A30" t="s">
        <v>94</v>
      </c>
      <c r="C30" s="20"/>
      <c r="D30" s="24"/>
      <c r="E30" s="26" t="s">
        <v>23</v>
      </c>
      <c r="F30" s="26" t="s">
        <v>23</v>
      </c>
      <c r="G30" s="29">
        <v>1</v>
      </c>
      <c r="H30" s="33"/>
      <c r="I30" s="37"/>
    </row>
    <row r="31" spans="1:11" ht="23.65" thickBot="1" x14ac:dyDescent="0.4">
      <c r="A31" t="s">
        <v>95</v>
      </c>
      <c r="C31" s="40"/>
      <c r="D31" s="41" t="s">
        <v>23</v>
      </c>
      <c r="E31" s="42" t="s">
        <v>27</v>
      </c>
      <c r="F31" s="42" t="s">
        <v>23</v>
      </c>
      <c r="G31" s="43"/>
      <c r="H31" s="44"/>
      <c r="I31" s="45">
        <v>60469.71</v>
      </c>
    </row>
    <row r="32" spans="1:11" ht="12.75" x14ac:dyDescent="0.35"/>
    <row r="33" ht="12.75" x14ac:dyDescent="0.35"/>
  </sheetData>
  <mergeCells count="11">
    <mergeCell ref="D26:F26"/>
    <mergeCell ref="D17:F17"/>
    <mergeCell ref="D18:F18"/>
    <mergeCell ref="D19:F19"/>
    <mergeCell ref="D21:F21"/>
    <mergeCell ref="D25:F25"/>
    <mergeCell ref="D10:F10"/>
    <mergeCell ref="D11:F11"/>
    <mergeCell ref="D14:F14"/>
    <mergeCell ref="D15:F15"/>
    <mergeCell ref="D16:F16"/>
  </mergeCells>
  <pageMargins left="0.51181102362204722" right="0.51181102362204722" top="0.51181102362204722" bottom="0.47244094488188981" header="7.874015748031496E-2" footer="0.1968503937007874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17</vt:i4>
      </vt:variant>
    </vt:vector>
  </HeadingPairs>
  <TitlesOfParts>
    <vt:vector size="20" baseType="lpstr">
      <vt:lpstr>Cover</vt:lpstr>
      <vt:lpstr>Disclaimer</vt:lpstr>
      <vt:lpstr>Project Config &amp; Quotation</vt:lpstr>
      <vt:lpstr>Cover!AGENTID</vt:lpstr>
      <vt:lpstr>Cover!BOQ_FLAG</vt:lpstr>
      <vt:lpstr>'Project Config &amp; Quotation'!CFGAREA</vt:lpstr>
      <vt:lpstr>Cover!COMPANYNAME</vt:lpstr>
      <vt:lpstr>Cover!CREATE_DATE</vt:lpstr>
      <vt:lpstr>Cover!PRICEID</vt:lpstr>
      <vt:lpstr>Cover!Print_Area</vt:lpstr>
      <vt:lpstr>Disclaimer!Print_Area</vt:lpstr>
      <vt:lpstr>'Project Config &amp; Quotation'!Print_Area</vt:lpstr>
      <vt:lpstr>'Project Config &amp; Quotation'!Print_Titles</vt:lpstr>
      <vt:lpstr>Cover!PROJECTCODE</vt:lpstr>
      <vt:lpstr>Cover!PROJECTNAME</vt:lpstr>
      <vt:lpstr>Cover!QUOTATIONBY</vt:lpstr>
      <vt:lpstr>Cover!QUOTATIONNO</vt:lpstr>
      <vt:lpstr>Cover!USERID</vt:lpstr>
      <vt:lpstr>Cover!VALID_AREA</vt:lpstr>
      <vt:lpstr>Disclaimer!VALID_AREA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2025-09-10T05:06:45Z</dcterms:modified>
</cp:coreProperties>
</file>